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サステナビリティニュース" sheetId="1" state="visible" r:id="rId1"/>
    <sheet xmlns:r="http://schemas.openxmlformats.org/officeDocument/2006/relationships" name="カテゴリ別サマリー"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555555"/>
      <sz val="9"/>
    </font>
    <font>
      <name val="Arial"/>
      <b val="1"/>
      <color rgb="00FFFFFF"/>
      <sz val="10"/>
    </font>
    <font>
      <name val="Arial"/>
      <sz val="9"/>
    </font>
    <font>
      <name val="Arial"/>
      <b val="1"/>
      <sz val="9"/>
    </font>
    <font>
      <name val="Arial"/>
      <b val="1"/>
      <color rgb="00FFFFFF"/>
      <sz val="13"/>
    </font>
    <font>
      <name val="Arial"/>
      <b val="1"/>
      <sz val="10"/>
    </font>
  </fonts>
  <fills count="11">
    <fill>
      <patternFill/>
    </fill>
    <fill>
      <patternFill patternType="gray125"/>
    </fill>
    <fill>
      <patternFill patternType="solid">
        <fgColor rgb="000D3B66"/>
      </patternFill>
    </fill>
    <fill>
      <patternFill patternType="solid">
        <fgColor rgb="00EAF2FF"/>
      </patternFill>
    </fill>
    <fill>
      <patternFill patternType="solid">
        <fgColor rgb="001A5276"/>
      </patternFill>
    </fill>
    <fill>
      <patternFill patternType="solid">
        <fgColor rgb="00D5E8D4"/>
      </patternFill>
    </fill>
    <fill>
      <patternFill patternType="solid">
        <fgColor rgb="00DAE8FC"/>
      </patternFill>
    </fill>
    <fill>
      <patternFill patternType="solid">
        <fgColor rgb="00FFF2CC"/>
      </patternFill>
    </fill>
    <fill>
      <patternFill patternType="solid">
        <fgColor rgb="00F8CECC"/>
      </patternFill>
    </fill>
    <fill>
      <patternFill patternType="solid">
        <fgColor rgb="00E1D5E7"/>
      </patternFill>
    </fill>
    <fill>
      <patternFill patternType="solid">
        <fgColor rgb="00D5D8D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4" fillId="5" borderId="1" applyAlignment="1" pivotButton="0" quotePrefix="0" xfId="0">
      <alignment horizontal="center" vertical="top" wrapText="1"/>
    </xf>
    <xf numFmtId="0" fontId="4" fillId="5" borderId="1" applyAlignment="1" pivotButton="0" quotePrefix="0" xfId="0">
      <alignment horizontal="left" vertical="top" wrapText="1"/>
    </xf>
    <xf numFmtId="0" fontId="5" fillId="5" borderId="1" applyAlignment="1" pivotButton="0" quotePrefix="0" xfId="0">
      <alignment horizontal="left" vertical="top" wrapText="1"/>
    </xf>
    <xf numFmtId="0" fontId="4" fillId="6" borderId="1" applyAlignment="1" pivotButton="0" quotePrefix="0" xfId="0">
      <alignment horizontal="center" vertical="top" wrapText="1"/>
    </xf>
    <xf numFmtId="0" fontId="4" fillId="6" borderId="1" applyAlignment="1" pivotButton="0" quotePrefix="0" xfId="0">
      <alignment horizontal="left" vertical="top" wrapText="1"/>
    </xf>
    <xf numFmtId="0" fontId="5" fillId="6" borderId="1" applyAlignment="1" pivotButton="0" quotePrefix="0" xfId="0">
      <alignment horizontal="left" vertical="top" wrapText="1"/>
    </xf>
    <xf numFmtId="0" fontId="4" fillId="7" borderId="1" applyAlignment="1" pivotButton="0" quotePrefix="0" xfId="0">
      <alignment horizontal="center" vertical="top" wrapText="1"/>
    </xf>
    <xf numFmtId="0" fontId="4" fillId="7" borderId="1" applyAlignment="1" pivotButton="0" quotePrefix="0" xfId="0">
      <alignment horizontal="left" vertical="top" wrapText="1"/>
    </xf>
    <xf numFmtId="0" fontId="5" fillId="7" borderId="1" applyAlignment="1" pivotButton="0" quotePrefix="0" xfId="0">
      <alignment horizontal="left" vertical="top" wrapText="1"/>
    </xf>
    <xf numFmtId="0" fontId="4" fillId="8" borderId="1" applyAlignment="1" pivotButton="0" quotePrefix="0" xfId="0">
      <alignment horizontal="center" vertical="top" wrapText="1"/>
    </xf>
    <xf numFmtId="0" fontId="4" fillId="8" borderId="1" applyAlignment="1" pivotButton="0" quotePrefix="0" xfId="0">
      <alignment horizontal="left" vertical="top" wrapText="1"/>
    </xf>
    <xf numFmtId="0" fontId="5" fillId="8" borderId="1" applyAlignment="1" pivotButton="0" quotePrefix="0" xfId="0">
      <alignment horizontal="left" vertical="top" wrapText="1"/>
    </xf>
    <xf numFmtId="0" fontId="4" fillId="9" borderId="1" applyAlignment="1" pivotButton="0" quotePrefix="0" xfId="0">
      <alignment horizontal="center" vertical="top" wrapText="1"/>
    </xf>
    <xf numFmtId="0" fontId="4" fillId="9" borderId="1" applyAlignment="1" pivotButton="0" quotePrefix="0" xfId="0">
      <alignment horizontal="left" vertical="top" wrapText="1"/>
    </xf>
    <xf numFmtId="0" fontId="5" fillId="9" borderId="1" applyAlignment="1" pivotButton="0" quotePrefix="0" xfId="0">
      <alignment horizontal="left" vertical="top" wrapText="1"/>
    </xf>
    <xf numFmtId="0" fontId="6" fillId="2" borderId="0" applyAlignment="1" pivotButton="0" quotePrefix="0" xfId="0">
      <alignment horizontal="center" vertical="center"/>
    </xf>
    <xf numFmtId="0" fontId="5" fillId="5" borderId="1" applyAlignment="1" pivotButton="0" quotePrefix="0" xfId="0">
      <alignment horizontal="left" vertical="center" wrapText="1"/>
    </xf>
    <xf numFmtId="0" fontId="4"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5" fillId="7" borderId="1" applyAlignment="1" pivotButton="0" quotePrefix="0" xfId="0">
      <alignment horizontal="left" vertical="center" wrapText="1"/>
    </xf>
    <xf numFmtId="0" fontId="4" fillId="7" borderId="1" applyAlignment="1" pivotButton="0" quotePrefix="0" xfId="0">
      <alignment horizontal="center" vertical="center" wrapText="1"/>
    </xf>
    <xf numFmtId="0" fontId="4" fillId="7" borderId="1" applyAlignment="1" pivotButton="0" quotePrefix="0" xfId="0">
      <alignment horizontal="left" vertical="center" wrapText="1"/>
    </xf>
    <xf numFmtId="0" fontId="5" fillId="8" borderId="1" applyAlignment="1" pivotButton="0" quotePrefix="0" xfId="0">
      <alignment horizontal="left" vertical="center" wrapText="1"/>
    </xf>
    <xf numFmtId="0" fontId="4" fillId="8" borderId="1" applyAlignment="1" pivotButton="0" quotePrefix="0" xfId="0">
      <alignment horizontal="center" vertical="center" wrapText="1"/>
    </xf>
    <xf numFmtId="0" fontId="4" fillId="8" borderId="1" applyAlignment="1" pivotButton="0" quotePrefix="0" xfId="0">
      <alignment horizontal="left" vertical="center" wrapText="1"/>
    </xf>
    <xf numFmtId="0" fontId="5"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4" fillId="9" borderId="1" applyAlignment="1" pivotButton="0" quotePrefix="0" xfId="0">
      <alignment horizontal="left" vertical="center" wrapText="1"/>
    </xf>
    <xf numFmtId="0" fontId="7"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5" customWidth="1" min="1" max="1"/>
    <col width="18" customWidth="1" min="2" max="2"/>
    <col width="40" customWidth="1" min="3" max="3"/>
    <col width="60" customWidth="1" min="4" max="4"/>
    <col width="22" customWidth="1" min="5" max="5"/>
    <col width="10" customWidth="1" min="6" max="6"/>
    <col width="20" customWidth="1" min="7" max="7"/>
  </cols>
  <sheetData>
    <row r="1" ht="35" customHeight="1">
      <c r="A1" s="1" t="inlineStr">
        <is>
          <t>2026年4月 サステナビリティ関連ニュース リサーチレポート</t>
        </is>
      </c>
    </row>
    <row r="2" ht="18" customHeight="1">
      <c r="A2" s="2" t="inlineStr">
        <is>
          <t>調査日: 2026年4月30日　　情報源: ESG News, Science Daily, S&amp;P Global, ESG Dive, PwC, Clark Hill 他</t>
        </is>
      </c>
    </row>
    <row r="3" ht="22" customHeight="1">
      <c r="A3" s="3" t="inlineStr">
        <is>
          <t>No.</t>
        </is>
      </c>
      <c r="B3" s="3" t="inlineStr">
        <is>
          <t>カテゴリ</t>
        </is>
      </c>
      <c r="C3" s="3" t="inlineStr">
        <is>
          <t>見出し（日本語）</t>
        </is>
      </c>
      <c r="D3" s="3" t="inlineStr">
        <is>
          <t>概要</t>
        </is>
      </c>
      <c r="E3" s="3" t="inlineStr">
        <is>
          <t>主な関係者・地域</t>
        </is>
      </c>
      <c r="F3" s="3" t="inlineStr">
        <is>
          <t>重要度</t>
        </is>
      </c>
      <c r="G3" s="3" t="inlineStr">
        <is>
          <t>情報源</t>
        </is>
      </c>
    </row>
    <row r="4" ht="55" customHeight="1">
      <c r="A4" s="4" t="n">
        <v>1</v>
      </c>
      <c r="B4" s="5" t="inlineStr">
        <is>
          <t>気候・環境</t>
        </is>
      </c>
      <c r="C4" s="6" t="inlineStr">
        <is>
          <t>アフリカの森林が炭素吸収源から排出源へ転換</t>
        </is>
      </c>
      <c r="D4" s="5" t="inlineStr">
        <is>
          <t>2010年以降、アフリカの熱帯林が大規模な森林破壊により、炭素を吸収する「シンク」から排出する「ソース」へと逆転したことが研究で判明。バイオマス損失がいかなる増加分をも上回る結果となっている。</t>
        </is>
      </c>
      <c r="E4" s="5" t="inlineStr">
        <is>
          <t>アフリカ・熱帯林</t>
        </is>
      </c>
      <c r="F4" s="4" t="inlineStr">
        <is>
          <t>高</t>
        </is>
      </c>
      <c r="G4" s="5" t="inlineStr">
        <is>
          <t>Science Daily (2026/4/13)</t>
        </is>
      </c>
    </row>
    <row r="5" ht="55" customHeight="1">
      <c r="A5" s="4" t="n">
        <v>2</v>
      </c>
      <c r="B5" s="5" t="inlineStr">
        <is>
          <t>気候・環境</t>
        </is>
      </c>
      <c r="C5" s="6" t="inlineStr">
        <is>
          <t>コロラド川の水量減少に春の降雨不足が影響</t>
        </is>
      </c>
      <c r="D5" s="5" t="inlineStr">
        <is>
          <t>スノーパック（積雪）が見込み通りでもコロラド川への供水が予想より少ない謎が解明。春の降雨量の減少が主因であることが新研究で示された。水資源管理に重要な知見となる。</t>
        </is>
      </c>
      <c r="E5" s="5" t="inlineStr">
        <is>
          <t>米国西部・コロラド川流域</t>
        </is>
      </c>
      <c r="F5" s="4" t="inlineStr">
        <is>
          <t>高</t>
        </is>
      </c>
      <c r="G5" s="5" t="inlineStr">
        <is>
          <t>Science Daily (2026/4/14)</t>
        </is>
      </c>
    </row>
    <row r="6" ht="55" customHeight="1">
      <c r="A6" s="4" t="n">
        <v>3</v>
      </c>
      <c r="B6" s="5" t="inlineStr">
        <is>
          <t>気候・環境</t>
        </is>
      </c>
      <c r="C6" s="6" t="inlineStr">
        <is>
          <t>淡水魚の個体数が81%減少、河川移動が崩壊</t>
        </is>
      </c>
      <c r="D6" s="5" t="inlineStr">
        <is>
          <t>世界規模の報告書により、回遊性淡水魚の個体数が1970年以降81%減少していることが判明。ダムや人間活動による移動経路の遮断が主因とされ、生態系への深刻な影響が懸念される。</t>
        </is>
      </c>
      <c r="E6" s="5" t="inlineStr">
        <is>
          <t>グローバル</t>
        </is>
      </c>
      <c r="F6" s="4" t="inlineStr">
        <is>
          <t>高</t>
        </is>
      </c>
      <c r="G6" s="5" t="inlineStr">
        <is>
          <t>Science Daily (2026/3/26)</t>
        </is>
      </c>
    </row>
    <row r="7" ht="55" customHeight="1">
      <c r="A7" s="4" t="n">
        <v>4</v>
      </c>
      <c r="B7" s="5" t="inlineStr">
        <is>
          <t>気候・環境</t>
        </is>
      </c>
      <c r="C7" s="6" t="inlineStr">
        <is>
          <t>空気中マイクロプラスチックの発生源を特定</t>
        </is>
      </c>
      <c r="D7" s="5" t="inlineStr">
        <is>
          <t>大気中のマイクロプラスチックは海洋よりも陸上が主な発生源であることが新研究で解明。陸上発生源は海洋の20倍以上の粒子を大気中に放出しており、汚染対策の見直しが必要とされる。</t>
        </is>
      </c>
      <c r="E7" s="5" t="inlineStr">
        <is>
          <t>グローバル</t>
        </is>
      </c>
      <c r="F7" s="4" t="inlineStr">
        <is>
          <t>中</t>
        </is>
      </c>
      <c r="G7" s="5" t="inlineStr">
        <is>
          <t>Science Daily (2026/4/24)</t>
        </is>
      </c>
    </row>
    <row r="8" ht="55" customHeight="1">
      <c r="A8" s="7" t="n">
        <v>5</v>
      </c>
      <c r="B8" s="8" t="inlineStr">
        <is>
          <t>ESG規制・開示</t>
        </is>
      </c>
      <c r="C8" s="9" t="inlineStr">
        <is>
          <t>EU「オムニバス」指令でCSRD・CS3D要件が簡素化</t>
        </is>
      </c>
      <c r="D8" s="8" t="inlineStr">
        <is>
          <t>EUは2月24日、Directive (EU) 2026/470を採択。CSRDとCSDDの適用閾値引き上げ、スケジュール延長、要件の簡素化を実施。EU加盟国は国内法への転換作業を進めることとなった。</t>
        </is>
      </c>
      <c r="E8" s="8" t="inlineStr">
        <is>
          <t>EU・欧州企業・グローバル多国籍企業</t>
        </is>
      </c>
      <c r="F8" s="7" t="inlineStr">
        <is>
          <t>高</t>
        </is>
      </c>
      <c r="G8" s="8" t="inlineStr">
        <is>
          <t>Clark Hill (2026/3)</t>
        </is>
      </c>
    </row>
    <row r="9" ht="55" customHeight="1">
      <c r="A9" s="7" t="n">
        <v>6</v>
      </c>
      <c r="B9" s="8" t="inlineStr">
        <is>
          <t>ESG規制・開示</t>
        </is>
      </c>
      <c r="C9" s="9" t="inlineStr">
        <is>
          <t>カリフォルニア州SB253：Scope1・2排出量の初回報告期限は2026年8月</t>
        </is>
      </c>
      <c r="D9" s="8" t="inlineStr">
        <is>
          <t>カリフォルニア州大気資源局（CARB）が規則を承認。カリフォルニア州でビジネスを行う大企業はScope1・2の排出量を2026年8月10日までに初回報告することが義務付けられた。</t>
        </is>
      </c>
      <c r="E9" s="8" t="inlineStr">
        <is>
          <t>米国・カリフォルニア州対象企業</t>
        </is>
      </c>
      <c r="F9" s="7" t="inlineStr">
        <is>
          <t>高</t>
        </is>
      </c>
      <c r="G9" s="8" t="inlineStr">
        <is>
          <t>Clark Hill / PwC (2026/3)</t>
        </is>
      </c>
    </row>
    <row r="10" ht="55" customHeight="1">
      <c r="A10" s="7" t="n">
        <v>7</v>
      </c>
      <c r="B10" s="8" t="inlineStr">
        <is>
          <t>ESG規制・開示</t>
        </is>
      </c>
      <c r="C10" s="9" t="inlineStr">
        <is>
          <t>ニューヨーク州議会がCCDAA（気候情報開示法）を可決</t>
        </is>
      </c>
      <c r="D10" s="8" t="inlineStr">
        <is>
          <t>ニューヨーク州議会上院が2026年2月10日にSB 9072Aを可決。温暖化ガス排出量の開示を義務付ける法律で、カリフォルニア州に続く州レベルの気候開示義務化の流れが加速している。</t>
        </is>
      </c>
      <c r="E10" s="8" t="inlineStr">
        <is>
          <t>米国・ニューヨーク州対象企業</t>
        </is>
      </c>
      <c r="F10" s="7" t="inlineStr">
        <is>
          <t>高</t>
        </is>
      </c>
      <c r="G10" s="8" t="inlineStr">
        <is>
          <t>ESG Dive (2026)</t>
        </is>
      </c>
    </row>
    <row r="11" ht="55" customHeight="1">
      <c r="A11" s="7" t="n">
        <v>8</v>
      </c>
      <c r="B11" s="8" t="inlineStr">
        <is>
          <t>ESG規制・開示</t>
        </is>
      </c>
      <c r="C11" s="9" t="inlineStr">
        <is>
          <t>ISSB、自然・生物多様性に関する国際報告基準の策定へ</t>
        </is>
      </c>
      <c r="D11" s="8" t="inlineStr">
        <is>
          <t>ISSBがTNFD勧告を踏まえた自然関連の投資家向けグローバル基準を開発すると正式表明。Exposure Draftは2026年10月までに公表予定。生物多様性の財務情報開示が本格化する見通し。</t>
        </is>
      </c>
      <c r="E11" s="8" t="inlineStr">
        <is>
          <t>グローバル・機関投資家・大企業</t>
        </is>
      </c>
      <c r="F11" s="7" t="inlineStr">
        <is>
          <t>高</t>
        </is>
      </c>
      <c r="G11" s="8" t="inlineStr">
        <is>
          <t>Lathan &amp; Watkins (2026)</t>
        </is>
      </c>
    </row>
    <row r="12" ht="55" customHeight="1">
      <c r="A12" s="7" t="n">
        <v>9</v>
      </c>
      <c r="B12" s="8" t="inlineStr">
        <is>
          <t>ESG規制・開示</t>
        </is>
      </c>
      <c r="C12" s="9" t="inlineStr">
        <is>
          <t>アジア太平洋各国でISSB準拠の気候開示が開始</t>
        </is>
      </c>
      <c r="D12" s="8" t="inlineStr">
        <is>
          <t>2026年、オーストラリア・香港・マレーシア・シンガポールなど複数の国・地域で大手上場企業によるISSBベースの初回気候開示が予定されている。アジア太平洋での開示義務化が本格化。</t>
        </is>
      </c>
      <c r="E12" s="8" t="inlineStr">
        <is>
          <t>アジア太平洋地域・上場大企業</t>
        </is>
      </c>
      <c r="F12" s="7" t="inlineStr">
        <is>
          <t>中</t>
        </is>
      </c>
      <c r="G12" s="8" t="inlineStr">
        <is>
          <t>Lathan &amp; Watkins (2026)</t>
        </is>
      </c>
    </row>
    <row r="13" ht="55" customHeight="1">
      <c r="A13" s="10" t="n">
        <v>10</v>
      </c>
      <c r="B13" s="11" t="inlineStr">
        <is>
          <t>再生可能エネルギー</t>
        </is>
      </c>
      <c r="C13" s="12" t="inlineStr">
        <is>
          <t>再生可能エネルギーが2025年末で世界発電設備の約50%に到達</t>
        </is>
      </c>
      <c r="D13" s="11" t="inlineStr">
        <is>
          <t>IRENA（国際再生可能エネルギー機関）の新データにより、2025年末時点で再生可能エネルギーが世界の発電設備容量の約半分を占めるに至ったことが明らかになった。</t>
        </is>
      </c>
      <c r="E13" s="11" t="inlineStr">
        <is>
          <t>グローバル・IRENA</t>
        </is>
      </c>
      <c r="F13" s="10" t="inlineStr">
        <is>
          <t>高</t>
        </is>
      </c>
      <c r="G13" s="11" t="inlineStr">
        <is>
          <t>Earth.Org (2026/4)</t>
        </is>
      </c>
    </row>
    <row r="14" ht="55" customHeight="1">
      <c r="A14" s="10" t="n">
        <v>11</v>
      </c>
      <c r="B14" s="11" t="inlineStr">
        <is>
          <t>再生可能エネルギー</t>
        </is>
      </c>
      <c r="C14" s="12" t="inlineStr">
        <is>
          <t>中国が2026年にグリーン水素の大規模生産・輸出を開始</t>
        </is>
      </c>
      <c r="D14" s="11" t="inlineStr">
        <is>
          <t>S&amp;P Globalの予測によると、2026年は中国が政策支援を背景にグリーン水素の生産・輸出を急速に拡大する年となる。電解槽コストの低下が普及を後押しし、中国がグローバルリーダーとなる見込み。</t>
        </is>
      </c>
      <c r="E14" s="11" t="inlineStr">
        <is>
          <t>中国・グリーン水素産業</t>
        </is>
      </c>
      <c r="F14" s="10" t="inlineStr">
        <is>
          <t>高</t>
        </is>
      </c>
      <c r="G14" s="11" t="inlineStr">
        <is>
          <t>S&amp;P Global (2026)</t>
        </is>
      </c>
    </row>
    <row r="15" ht="55" customHeight="1">
      <c r="A15" s="10" t="n">
        <v>12</v>
      </c>
      <c r="B15" s="11" t="inlineStr">
        <is>
          <t>再生可能エネルギー</t>
        </is>
      </c>
      <c r="C15" s="12" t="inlineStr">
        <is>
          <t>GX-ETSが2026年4月1日より本格始動（日本）</t>
        </is>
      </c>
      <c r="D15" s="11" t="inlineStr">
        <is>
          <t>日本の脱炭素政策の柱であるGX排出量取引制度（GX-ETS）が2026年4月1日から本格的に開始。対象大企業の取引基準や利用可能クレジット、発電部門向け措置が実施段階へ移行した。</t>
        </is>
      </c>
      <c r="E15" s="11" t="inlineStr">
        <is>
          <t>日本・大手企業</t>
        </is>
      </c>
      <c r="F15" s="10" t="inlineStr">
        <is>
          <t>高</t>
        </is>
      </c>
      <c r="G15" s="11" t="inlineStr">
        <is>
          <t>新電力ネット (2026/4)</t>
        </is>
      </c>
    </row>
    <row r="16" ht="55" customHeight="1">
      <c r="A16" s="10" t="n">
        <v>13</v>
      </c>
      <c r="B16" s="11" t="inlineStr">
        <is>
          <t>再生可能エネルギー</t>
        </is>
      </c>
      <c r="C16" s="12" t="inlineStr">
        <is>
          <t>持続可能な航空燃料（SAF）の世界供給能力が2026年に3割増へ</t>
        </is>
      </c>
      <c r="D16" s="11" t="inlineStr">
        <is>
          <t>S&amp;P Globalによると、2026年のSAF世界供給能力はアジア主導で約30%拡大する見込み。ただし市場規模はまだ小さく、多くの将来的設備は投資決定待ちであり、大規模普及には課題が残る。</t>
        </is>
      </c>
      <c r="E16" s="11" t="inlineStr">
        <is>
          <t>グローバル・航空業界</t>
        </is>
      </c>
      <c r="F16" s="10" t="inlineStr">
        <is>
          <t>中</t>
        </is>
      </c>
      <c r="G16" s="11" t="inlineStr">
        <is>
          <t>S&amp;P Global (2026)</t>
        </is>
      </c>
    </row>
    <row r="17" ht="55" customHeight="1">
      <c r="A17" s="10" t="n">
        <v>14</v>
      </c>
      <c r="B17" s="11" t="inlineStr">
        <is>
          <t>再生可能エネルギー</t>
        </is>
      </c>
      <c r="C17" s="12" t="inlineStr">
        <is>
          <t>データセンターの水使用問題が規制強化・技術革新を促進</t>
        </is>
      </c>
      <c r="D17" s="11" t="inlineStr">
        <is>
          <t>AI拡大に伴うデータセンターの水消費増大が社会問題化。欧州ではデータセンターの水使用量開示が義務化され、リサイクル排水を活用した冷却システムや「ゼロウォーター」データセンターの実証が進んでいる。</t>
        </is>
      </c>
      <c r="E17" s="11" t="inlineStr">
        <is>
          <t>欧州・テック企業・データセンター運営者</t>
        </is>
      </c>
      <c r="F17" s="10" t="inlineStr">
        <is>
          <t>中</t>
        </is>
      </c>
      <c r="G17" s="11" t="inlineStr">
        <is>
          <t>IMD Business School (2026)</t>
        </is>
      </c>
    </row>
    <row r="18" ht="55" customHeight="1">
      <c r="A18" s="13" t="n">
        <v>15</v>
      </c>
      <c r="B18" s="14" t="inlineStr">
        <is>
          <t>企業動向</t>
        </is>
      </c>
      <c r="C18" s="15" t="inlineStr">
        <is>
          <t>Siemon社、2021年比でScope1・2排出量を69%削減し目標を4年前倒し達成</t>
        </is>
      </c>
      <c r="D18" s="14" t="inlineStr">
        <is>
          <t>ネットワークインフラ大手Siemon社が2026年ESGレポートを発表。2021年比でGHG排出量69%削減という科学的根拠に基づく2031年目標を4年前倒しで達成。再生可能エネルギーの使用率も90%に到達。</t>
        </is>
      </c>
      <c r="E18" s="14" t="inlineStr">
        <is>
          <t>Siemon社（グローバル）</t>
        </is>
      </c>
      <c r="F18" s="13" t="inlineStr">
        <is>
          <t>中</t>
        </is>
      </c>
      <c r="G18" s="14" t="inlineStr">
        <is>
          <t>Trade Arabia (2026/4/28)</t>
        </is>
      </c>
    </row>
    <row r="19" ht="55" customHeight="1">
      <c r="A19" s="13" t="n">
        <v>16</v>
      </c>
      <c r="B19" s="14" t="inlineStr">
        <is>
          <t>企業動向</t>
        </is>
      </c>
      <c r="C19" s="15" t="inlineStr">
        <is>
          <t>General Motors、米国事業の電力を100%再生可能エネルギーで調達</t>
        </is>
      </c>
      <c r="D19" s="14" t="inlineStr">
        <is>
          <t>GMが米国の全事業拠点における電力を100%再生可能エネルギーで調達することを発表。主要自動車メーカーによる大規模再エネ調達の取り組みとして注目されている。</t>
        </is>
      </c>
      <c r="E19" s="14" t="inlineStr">
        <is>
          <t>GM・米国</t>
        </is>
      </c>
      <c r="F19" s="13" t="inlineStr">
        <is>
          <t>中</t>
        </is>
      </c>
      <c r="G19" s="14" t="inlineStr">
        <is>
          <t>ESG Dive (2026/4)</t>
        </is>
      </c>
    </row>
    <row r="20" ht="55" customHeight="1">
      <c r="A20" s="13" t="n">
        <v>17</v>
      </c>
      <c r="B20" s="14" t="inlineStr">
        <is>
          <t>企業動向</t>
        </is>
      </c>
      <c r="C20" s="15" t="inlineStr">
        <is>
          <t>「クライメート・ハッシング」が拡大：ESG言及企業がS&amp;P100で25%に低下</t>
        </is>
      </c>
      <c r="D20" s="14" t="inlineStr">
        <is>
          <t>Conference Boardの調査によると、S&amp;P100上場企業の2024年サステナビリティレポートでESGという用語を使用した企業は25%と、2023年の40%から急減。政治環境への配慮から意図的に発信を抑制する「グリーンハッシング」が広がっている。</t>
        </is>
      </c>
      <c r="E20" s="14" t="inlineStr">
        <is>
          <t>米国大手企業</t>
        </is>
      </c>
      <c r="F20" s="13" t="inlineStr">
        <is>
          <t>中</t>
        </is>
      </c>
      <c r="G20" s="14" t="inlineStr">
        <is>
          <t>ESG Dive (2026)</t>
        </is>
      </c>
    </row>
    <row r="21" ht="55" customHeight="1">
      <c r="A21" s="13" t="n">
        <v>18</v>
      </c>
      <c r="B21" s="14" t="inlineStr">
        <is>
          <t>企業動向</t>
        </is>
      </c>
      <c r="C21" s="15" t="inlineStr">
        <is>
          <t>Onterris（旧Montrose Environmental）がPFAS除去プロジェクトで環境・エネルギーリーダー賞受賞</t>
        </is>
      </c>
      <c r="D21" s="14" t="inlineStr">
        <is>
          <t>環境ソリューション企業OnterrisのPFAS（有機フッ素化合物）フリー水の実現プロジェクトが、2026年Environment+Energy Leader AwardsのJudges' Choice賞を受賞。デジタル変革・エネルギー革新・環境インパクトの各部門でも評価された。</t>
        </is>
      </c>
      <c r="E21" s="14" t="inlineStr">
        <is>
          <t>Onterris・米国</t>
        </is>
      </c>
      <c r="F21" s="13" t="inlineStr">
        <is>
          <t>低</t>
        </is>
      </c>
      <c r="G21" s="14" t="inlineStr">
        <is>
          <t>Business Wire (2026/4/29)</t>
        </is>
      </c>
    </row>
    <row r="22" ht="55" customHeight="1">
      <c r="A22" s="16" t="n">
        <v>19</v>
      </c>
      <c r="B22" s="17" t="inlineStr">
        <is>
          <t>自然・生態系</t>
        </is>
      </c>
      <c r="C22" s="18" t="inlineStr">
        <is>
          <t>英国カーボンクレジット市場が年間£12億（約2,200億円）規模と初めて定量化</t>
        </is>
      </c>
      <c r="D22" s="17" t="inlineStr">
        <is>
          <t>英国のカーボンクレジット経済の規模を初めて定量化した新報告書が発表され、年間約12億ポンド（約15億ドル）規模であることが明らかになった。カーボン市場の経済的価値を示す重要な指標として注目を集めている。</t>
        </is>
      </c>
      <c r="E22" s="17" t="inlineStr">
        <is>
          <t>英国・カーボン市場</t>
        </is>
      </c>
      <c r="F22" s="16" t="inlineStr">
        <is>
          <t>中</t>
        </is>
      </c>
      <c r="G22" s="17" t="inlineStr">
        <is>
          <t>ESG News (2026/4/24)</t>
        </is>
      </c>
    </row>
    <row r="23" ht="55" customHeight="1">
      <c r="A23" s="16" t="n">
        <v>20</v>
      </c>
      <c r="B23" s="17" t="inlineStr">
        <is>
          <t>自然・生態系</t>
        </is>
      </c>
      <c r="C23" s="18" t="inlineStr">
        <is>
          <t>土壌微生物を利用した燃料電池が地中センサーの電源に</t>
        </is>
      </c>
      <c r="D23" s="17" t="inlineStr">
        <is>
          <t>科学者チームが土壌中の微生物を利用して発電する燃料電池を開発。バッテリーや太陽光パネルなしで地下センサーに電力を供給でき、農業・環境モニタリング分野での応用が期待される。</t>
        </is>
      </c>
      <c r="E23" s="17" t="inlineStr">
        <is>
          <t>研究機関・農業・環境分野</t>
        </is>
      </c>
      <c r="F23" s="16" t="inlineStr">
        <is>
          <t>低</t>
        </is>
      </c>
      <c r="G23" s="17" t="inlineStr">
        <is>
          <t>Science Daily (2026/4/19)</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2" customWidth="1" min="1" max="1"/>
    <col width="8" customWidth="1" min="2" max="2"/>
    <col width="50" customWidth="1" min="3" max="3"/>
  </cols>
  <sheetData>
    <row r="1" ht="30" customHeight="1">
      <c r="A1" s="19" t="inlineStr">
        <is>
          <t>カテゴリ別 ニュース件数サマリー</t>
        </is>
      </c>
    </row>
    <row r="2" ht="20" customHeight="1">
      <c r="A2" s="3" t="inlineStr">
        <is>
          <t>カテゴリ</t>
        </is>
      </c>
      <c r="B2" s="3" t="inlineStr">
        <is>
          <t>件数</t>
        </is>
      </c>
      <c r="C2" s="3" t="inlineStr">
        <is>
          <t>主なトピック</t>
        </is>
      </c>
    </row>
    <row r="3" ht="45" customHeight="1">
      <c r="A3" s="20" t="inlineStr">
        <is>
          <t>気候・環境</t>
        </is>
      </c>
      <c r="B3" s="21" t="n">
        <v>4</v>
      </c>
      <c r="C3" s="22" t="inlineStr">
        <is>
          <t>アフリカ森林の炭素排出源化、コロラド川水量減少、淡水魚個体数急減、マイクロプラスチック発生源特定</t>
        </is>
      </c>
    </row>
    <row r="4" ht="45" customHeight="1">
      <c r="A4" s="23" t="inlineStr">
        <is>
          <t>ESG規制・開示</t>
        </is>
      </c>
      <c r="B4" s="24" t="n">
        <v>5</v>
      </c>
      <c r="C4" s="25" t="inlineStr">
        <is>
          <t>EU CSRD簡素化、カリフォルニア州SB253開始、NYのCCDAA可決、ISSBの自然基準策定、APAC開示義務化</t>
        </is>
      </c>
    </row>
    <row r="5" ht="45" customHeight="1">
      <c r="A5" s="26" t="inlineStr">
        <is>
          <t>再生可能エネルギー</t>
        </is>
      </c>
      <c r="B5" s="27" t="n">
        <v>4</v>
      </c>
      <c r="C5" s="28" t="inlineStr">
        <is>
          <t>世界の再エネ容量50%達成、中国グリーン水素拡大、GX-ETS開始（日本）、SAF供給能力3割増</t>
        </is>
      </c>
    </row>
    <row r="6" ht="45" customHeight="1">
      <c r="A6" s="29" t="inlineStr">
        <is>
          <t>企業動向</t>
        </is>
      </c>
      <c r="B6" s="30" t="n">
        <v>4</v>
      </c>
      <c r="C6" s="31" t="inlineStr">
        <is>
          <t>Siemon社GHG69%削減、GM再エネ100%調達、ESG言及企業の減少、Onterris環境賞受賞</t>
        </is>
      </c>
    </row>
    <row r="7" ht="45" customHeight="1">
      <c r="A7" s="32" t="inlineStr">
        <is>
          <t>自然・生態系</t>
        </is>
      </c>
      <c r="B7" s="33" t="n">
        <v>2</v>
      </c>
      <c r="C7" s="34" t="inlineStr">
        <is>
          <t>英国カーボンクレジット市場規模定量化、土壌燃料電池の開発</t>
        </is>
      </c>
    </row>
    <row r="8" ht="20" customHeight="1">
      <c r="A8" s="35" t="inlineStr">
        <is>
          <t>合計</t>
        </is>
      </c>
      <c r="B8" s="35">
        <f>SUM(B3:B7)</f>
        <v/>
      </c>
      <c r="C8" s="35" t="inlineStr"/>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2026-04-29T23:10:35Z</dcterms:created>
  <dcterms:modified xmlns:dcterms="http://purl.org/dc/terms/" xmlns:xsi="http://www.w3.org/2001/XMLSchema-instance" xsi:type="dcterms:W3CDTF">2026-04-29T23:10:35Z</dcterms:modified>
</cp:coreProperties>
</file>