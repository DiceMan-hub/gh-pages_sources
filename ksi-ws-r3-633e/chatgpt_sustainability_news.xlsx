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6d1f3bc41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2ccd29b3e0434b"/>
    <x:sheet xmlns:r="http://schemas.openxmlformats.org/officeDocument/2006/relationships" name="News Database" sheetId="2" r:id="R80db55f70ae14c67"/>
    <x:sheet xmlns:r="http://schemas.openxmlformats.org/officeDocument/2006/relationships" name="Priority Watch" sheetId="3" r:id="Rd900fa1b157e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1"/>
      <x:color rgb="1F2937"/>
      <x:name val="Carlito"/>
    </x:font>
    <x:font>
      <x:sz val="10"/>
      <x:color rgb="1F2937"/>
      <x:name val="Carlito"/>
    </x:font>
    <x:font>
      <x:b/>
      <x:sz val="16"/>
      <x:color rgb="0F3D2E"/>
      <x:name val="Carlito"/>
    </x:font>
    <x:font>
      <x:sz val="10"/>
      <x:color rgb="4B5563"/>
      <x:name val="Carlito"/>
    </x:font>
    <x:font>
      <x:b/>
      <x:sz val="11"/>
      <x:name val="Carlito"/>
    </x:font>
    <x:font>
      <x:b/>
      <x:sz val="12"/>
      <x:color rgb="0F3D2E"/>
      <x:name val="Carlito"/>
    </x:font>
    <x:font>
      <x:sz val="10"/>
      <x:name val="Carlito"/>
    </x:font>
    <x:font>
      <x:b/>
      <x:sz val="16"/>
      <x:color rgb="0F3D2E"/>
      <x:name val="Aptos"/>
    </x:font>
    <x:font>
      <x:sz val="11"/>
      <x:name val="Aptos"/>
    </x:font>
    <x:font>
      <x:sz val="10"/>
      <x:color rgb="4B5563"/>
      <x:name val="Aptos"/>
    </x:font>
    <x:font>
      <x:b/>
      <x:sz val="11"/>
      <x:name val="Aptos"/>
    </x:font>
    <x:font>
      <x:b/>
      <x:sz val="12"/>
      <x:color rgb="0F3D2E"/>
      <x:name val="Aptos"/>
    </x:font>
    <x:font>
      <x:sz val="10"/>
      <x:name val="Aptos"/>
    </x:font>
    <x:font>
      <x:b/>
      <x:sz val="11"/>
      <x:color rgb="1F2937"/>
      <x:name val="Aptos"/>
    </x:font>
    <x:font>
      <x:sz val="10"/>
      <x:color rgb="1F2937"/>
      <x:name val="Aptos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8FB5A4"/>
      </x:bottom>
    </x:border>
    <x:border>
      <x:bottom style="thin">
        <x:color rgb="8FB5A4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2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3" xfId="0" applyNumberFormat="1" applyFont="1" applyFill="0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200" fontId="2" fillId="0" borderId="0" xfId="0" applyNumberFormat="1" applyFont="1" applyFill="1" applyBorder="1"/>
    <x:xf numFmtId="200" fontId="2" fillId="0" borderId="4" xfId="0" applyNumberFormat="1" applyFont="1" applyFill="1" applyBorder="1"/>
    <x:xf numFmtId="200" fontId="2" fillId="0" borderId="1" xfId="0" applyNumberFormat="1" applyFont="1" applyFill="1" applyBorder="1"/>
    <x:xf numFmtId="200" fontId="2" fillId="0" borderId="5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borderId="0" xfId="0" applyNumberFormat="1" applyFont="1" applyFill="0" applyBorder="1"/>
    <x:xf numFmtId="0" fontId="6" borderId="1" xfId="0" applyNumberFormat="1" applyFont="1" applyFill="0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0" xfId="0" applyNumberFormat="1" applyFont="1" applyFill="1" applyBorder="1"/>
    <x:xf numFmtId="200" fontId="7" fillId="0" borderId="4" xfId="0" applyNumberFormat="1" applyFont="1" applyFill="1" applyBorder="1"/>
    <x:xf numFmtId="200" fontId="7" fillId="0" borderId="1" xfId="0" applyNumberFormat="1" applyFont="1" applyFill="1" applyBorder="1"/>
    <x:xf numFmtId="200" fontId="7" fillId="0" borderId="5" xfId="0" applyNumberFormat="1" applyFont="1" applyFill="1" applyBorder="1"/>
    <x:xf numFmtId="0" fontId="8" borderId="0" xfId="0" applyNumberFormat="1" applyFont="1" applyFill="0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borderId="0" xfId="0" applyNumberFormat="1" applyFont="1" applyFill="0" applyBorder="1"/>
    <x:xf numFmtId="0" fontId="9" fillId="0" borderId="4" xfId="0" applyNumberFormat="1" applyFont="1" applyFill="1" applyBorder="1"/>
    <x:xf numFmtId="0" fontId="12" borderId="0" xfId="0" applyNumberFormat="1" applyFont="1" applyFill="0" applyBorder="1"/>
    <x:xf numFmtId="0" fontId="13" fillId="0" borderId="0" xfId="0" applyNumberFormat="1" applyFont="1" applyFill="1" applyBorder="1"/>
    <x:xf numFmtId="0" fontId="8" borderId="1" xfId="0" applyNumberFormat="1" applyFont="1" applyFill="0" applyBorder="1"/>
    <x:xf numFmtId="0" fontId="9" fillId="0" borderId="1" xfId="0" applyNumberFormat="1" applyFont="1" applyFill="1" applyBorder="1"/>
    <x:xf numFmtId="0" fontId="10" fillId="0" borderId="1" xfId="0" applyNumberFormat="1" applyFont="1" applyFill="1" applyBorder="1"/>
    <x:xf numFmtId="0" fontId="11" borderId="1" xfId="0" applyNumberFormat="1" applyFont="1" applyFill="0" applyBorder="1"/>
    <x:xf numFmtId="0" fontId="9" fillId="0" borderId="5" xfId="0" applyNumberFormat="1" applyFont="1" applyFill="1" applyBorder="1"/>
    <x:xf numFmtId="0" fontId="12" borderId="1" xfId="0" applyNumberFormat="1" applyFont="1" applyFill="0" applyBorder="1"/>
    <x:xf numFmtId="0" fontId="13" fillId="0" borderId="1" xfId="0" applyNumberFormat="1" applyFont="1" applyFill="1" applyBorder="1"/>
    <x:xf numFmtId="0" fontId="14" borderId="2" xfId="0" applyNumberFormat="1" applyFont="1" applyFill="0" applyBorder="1"/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0" fontId="15" fillId="0" borderId="4" xfId="0" applyNumberFormat="1" applyFont="1" applyFill="1" applyBorder="1"/>
    <x:xf numFmtId="200" fontId="15" fillId="0" borderId="4" xfId="0" applyNumberFormat="1" applyFont="1" applyFill="1" applyBorder="1"/>
    <x:xf numFmtId="0" fontId="14" borderId="3" xfId="0" applyNumberFormat="1" applyFont="1" applyFill="0" applyBorder="1"/>
    <x:xf numFmtId="0" fontId="15" fillId="0" borderId="1" xfId="0" applyNumberFormat="1" applyFont="1" applyFill="1" applyBorder="1"/>
    <x:xf numFmtId="200" fontId="15" fillId="0" borderId="1" xfId="0" applyNumberFormat="1" applyFont="1" applyFill="1" applyBorder="1"/>
    <x:xf numFmtId="0" fontId="15" fillId="0" borderId="5" xfId="0" applyNumberFormat="1" applyFont="1" applyFill="1" applyBorder="1"/>
    <x:xf numFmtId="200" fontId="15" fillId="0" borderId="5" xfId="0" applyNumberFormat="1" applyFont="1" applyFill="1" applyBorder="1"/>
    <x:xf numFmtId="0" fontId="14" borderId="0" xfId="0" applyNumberFormat="1" applyFont="1" applyFill="0" applyBorder="1"/>
    <x:xf numFmtId="200" fontId="13" fillId="0" borderId="0" xfId="0" applyNumberFormat="1" applyFont="1" applyFill="1" applyBorder="1"/>
    <x:xf numFmtId="0" fontId="13" fillId="0" borderId="4" xfId="0" applyNumberFormat="1" applyFont="1" applyFill="1" applyBorder="1"/>
    <x:xf numFmtId="200" fontId="13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7168b911b4135" /><Relationship Type="http://schemas.openxmlformats.org/officeDocument/2006/relationships/theme" Target="/xl/theme/theme1.xml" Id="R12e654032cfe479c" /><Relationship Type="http://schemas.openxmlformats.org/officeDocument/2006/relationships/sharedStrings" Target="/xl/sharedStrings.xml" Id="R09854580b60f40b2" /><Relationship Type="http://schemas.openxmlformats.org/officeDocument/2006/relationships/worksheet" Target="/xl/worksheets/sheet1.xml" Id="Rb42ccd29b3e0434b" /><Relationship Type="http://schemas.openxmlformats.org/officeDocument/2006/relationships/worksheet" Target="/xl/worksheets/sheet2.xml" Id="R80db55f70ae14c67" /><Relationship Type="http://schemas.openxmlformats.org/officeDocument/2006/relationships/worksheet" Target="/xl/worksheets/sheet3.xml" Id="Rd900fa1b157e49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61c74415242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News count by category bucket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'Summary'!$D$5:$D$12</c:f>
              <c:strCache>
                <c:ptCount val="0"/>
              </c:strCache>
            </c:strRef>
          </c:cat>
          <c:val>
            <c:numRef>
              <c:f>'Summary'!$E$5:$E$12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61c74415242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ea26b6ae5c459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8" hidden="0" customWidth="1"/>
    <x:col min="5" max="5" width="1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5" t="str">
        <x:v>Sustainability News Research — April 2026</x:v>
      </x:c>
      <x:c r="B1" s="35" t="str"/>
      <x:c r="C1" s="35" t="str"/>
      <x:c r="D1" s="35" t="str"/>
      <x:c r="E1" s="35" t="str"/>
      <x:c r="F1" s="35" t="str"/>
      <x:c r="G1" s="35" t="str"/>
      <x:c r="H1" s="35" t="str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46" customHeight="1">
      <x:c r="A2" s="37" t="str">
        <x:v>Scope: sustainability-related news published or materially active in April 2026. Focus areas: climate policy, disclosure, sustainable finance, circular economy, nature/biodiversity, and corporate/government initiatives.</x:v>
      </x:c>
      <x:c r="B2" s="37" t="str"/>
      <x:c r="C2" s="37" t="str"/>
      <x:c r="D2" s="37" t="str"/>
      <x:c r="E2" s="37" t="str"/>
      <x:c r="F2" s="37" t="str"/>
      <x:c r="G2" s="37" t="str"/>
      <x:c r="H2" s="37" t="str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8" t="str">
        <x:v>Metric</x:v>
      </x:c>
      <x:c r="B4" s="38" t="str">
        <x:v>Value</x:v>
      </x:c>
      <x:c r="C4" s="36"/>
      <x:c r="D4" s="38" t="str">
        <x:v>Category bucket</x:v>
      </x:c>
      <x:c r="E4" s="38" t="str">
        <x:v>Count</x:v>
      </x:c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Total articles tracked</x:v>
      </x:c>
      <x:c r="B5" s="36" t="n">
        <x:f>COUNTA('News Database'!A2:A17)</x:f>
        <x:v>16</x:v>
      </x:c>
      <x:c r="C5" s="36"/>
      <x:c r="D5" s="36" t="str">
        <x:v>Circular economy</x:v>
      </x:c>
      <x:c r="E5" s="36" t="n">
        <x:f>COUNTIF('News Database'!E2:E17,D5)</x:f>
        <x:v>2</x:v>
      </x:c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Japan-related items</x:v>
      </x:c>
      <x:c r="B6" s="36" t="n">
        <x:f>COUNTIF('News Database'!C2:C17,"Japan")</x:f>
        <x:v>6</x:v>
      </x:c>
      <x:c r="C6" s="36"/>
      <x:c r="D6" s="36" t="str">
        <x:v>Sustainable finance</x:v>
      </x:c>
      <x:c r="E6" s="36" t="n">
        <x:f>COUNTIF('News Database'!E2:E17,D6)</x:f>
        <x:v>1</x:v>
      </x:c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High-priority items (4-5)</x:v>
      </x:c>
      <x:c r="B7" s="36" t="n">
        <x:f>COUNTIF('News Database'!J2:J17,"&gt;=4")</x:f>
        <x:v>14</x:v>
      </x:c>
      <x:c r="C7" s="36"/>
      <x:c r="D7" s="36" t="str">
        <x:v>Disclosure / reporting</x:v>
      </x:c>
      <x:c r="E7" s="36" t="n">
        <x:f>COUNTIF('News Database'!E2:E17,D7)</x:f>
        <x:v>1</x:v>
      </x:c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9" t="str">
        <x:v>Average priority</x:v>
      </x:c>
      <x:c r="B8" s="39" t="n">
        <x:f>ROUND(AVERAGE('News Database'!J2:J17),1)</x:f>
        <x:v>4.3</x:v>
      </x:c>
      <x:c r="C8" s="36"/>
      <x:c r="D8" s="36" t="str">
        <x:v>Nature / biodiversity</x:v>
      </x:c>
      <x:c r="E8" s="36" t="n">
        <x:f>COUNTIF('News Database'!E2:E17,D8)</x:f>
        <x:v>2</x:v>
      </x:c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/>
      <x:c r="B9" s="36"/>
      <x:c r="C9" s="36"/>
      <x:c r="D9" s="36" t="str">
        <x:v>Energy efficiency</x:v>
      </x:c>
      <x:c r="E9" s="36" t="n">
        <x:f>COUNTIF('News Database'!E2:E17,D9)</x:f>
        <x:v>1</x:v>
      </x:c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 t="str">
        <x:v>Climate adaptation</x:v>
      </x:c>
      <x:c r="E10" s="36" t="n">
        <x:f>COUNTIF('News Database'!E2:E17,D10)</x:f>
        <x:v>1</x:v>
      </x:c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/>
      <x:c r="B11" s="36"/>
      <x:c r="C11" s="36"/>
      <x:c r="D11" s="36" t="str">
        <x:v>Consumer sustainability</x:v>
      </x:c>
      <x:c r="E11" s="36" t="n">
        <x:f>COUNTIF('News Database'!E2:E17,D11)</x:f>
        <x:v>1</x:v>
      </x:c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9" t="str">
        <x:v>Governance</x:v>
      </x:c>
      <x:c r="E12" s="39" t="n">
        <x:f>COUNTIF('News Database'!E2:E17,D12)</x:f>
        <x:v>1</x:v>
      </x:c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40" t="str">
        <x:v>Executive takeaways</x:v>
      </x:c>
      <x:c r="B15" s="40" t="str"/>
      <x:c r="C15" s="40" t="str"/>
      <x:c r="D15" s="40" t="str"/>
      <x:c r="E15" s="40" t="str"/>
      <x:c r="F15" s="40" t="str"/>
      <x:c r="G15" s="40" t="str"/>
      <x:c r="H15" s="40" t="str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 ht="34" customHeight="1">
      <x:c r="A16" s="41" t="str">
        <x:v>1. 開示・測定ルールの精緻化が進む：ISSB/TNFD/GHG Protocolなど、気候・自然・土地利用に関する「測り方」の更新が多い月。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 ht="34" customHeight="1">
      <x:c r="A17" s="41" t="str">
        <x:v>2. 日本は政策実装フェーズ：GHG排出量の減少、グリーンファイナンス指針改訂、サプライチェーン省エネ、循環経済支援が同時進行。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 ht="34" customHeight="1">
      <x:c r="A18" s="41" t="str">
        <x:v>3. サーキュラーエコノミーは資源安全保障テーマへ：重要鉱物・プラスチックのリサイクル投資が産業政策として重要化。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 ht="34" customHeight="1">
      <x:c r="A19" s="41" t="str">
        <x:v>4. 気候リスクは金融・保険・インフラ政策に直結：ポルトガルのレジリエンス計画や米国開示訴訟が象徴的。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 ht="34" customHeight="1">
      <x:c r="A20" s="41" t="str">
        <x:v>5. 企業向けの実務論点：Scope 3、自然資本、再生農業、グリーン/SLB/SLLフレームワーク、サプライチェーン省エネのモニタリングが重要。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 ht="34" customHeight="1">
      <x:c r="A21" s="41" t="str">
        <x:v>6. コンテンツ化するなら：「サステナブル投資は終わったのか？」よりも「測定・保証・法務リスクが実装段階に入った」が今月の切り口。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</x:row>
  </x:sheetData>
  <x:pageMargins left="0.7" right="0.7" top="0.75" bottom="0.75" header="0.3" footer="0.3"/>
  <x:drawing xmlns:r="http://schemas.openxmlformats.org/officeDocument/2006/relationships" r:id="R55ea26b6ae5c4591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8" hidden="0" customWidth="1"/>
    <x:col min="5" max="5" width="24" hidden="0" customWidth="1"/>
    <x:col min="6" max="6" width="38" hidden="0" customWidth="1"/>
    <x:col min="7" max="7" width="54" hidden="0" customWidth="1"/>
    <x:col min="8" max="8" width="54" hidden="0" customWidth="1"/>
    <x:col min="9" max="9" width="34" hidden="0" customWidth="1"/>
    <x:col min="10" max="10" width="13" hidden="0" customWidth="1"/>
    <x:col min="11" max="11" width="42" hidden="0" customWidth="1"/>
    <x:col min="12" max="12" width="24" hidden="0" customWidth="1"/>
    <x:col min="13" max="13" width="58" hidden="0" customWidth="1"/>
  </x:cols>
  <x:sheetData>
    <x:row r="1" ht="36" customHeight="1">
      <x:c r="A1" s="49" t="str">
        <x:v>ID</x:v>
      </x:c>
      <x:c r="B1" s="49" t="str">
        <x:v>Date</x:v>
      </x:c>
      <x:c r="C1" s="49" t="str">
        <x:v>Region</x:v>
      </x:c>
      <x:c r="D1" s="49" t="str">
        <x:v>Category</x:v>
      </x:c>
      <x:c r="E1" s="49" t="str">
        <x:v>Bucket</x:v>
      </x:c>
      <x:c r="F1" s="49" t="str">
        <x:v>Topic</x:v>
      </x:c>
      <x:c r="G1" s="49" t="str">
        <x:v>Summary</x:v>
      </x:c>
      <x:c r="H1" s="49" t="str">
        <x:v>Business / Policy Implication</x:v>
      </x:c>
      <x:c r="I1" s="49" t="str">
        <x:v>Stakeholders</x:v>
      </x:c>
      <x:c r="J1" s="49" t="str">
        <x:v>Priority (1-5)</x:v>
      </x:c>
      <x:c r="K1" s="49" t="str">
        <x:v>Follow-up points</x:v>
      </x:c>
      <x:c r="L1" s="49" t="str">
        <x:v>Source</x:v>
      </x:c>
      <x:c r="M1" s="49" t="str">
        <x:v>URL</x:v>
      </x:c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72" customHeight="1">
      <x:c r="A2" s="50" t="n">
        <x:v>1</x:v>
      </x:c>
      <x:c r="B2" s="51" t="n">
        <x:v>46141</x:v>
      </x:c>
      <x:c r="C2" s="50" t="str">
        <x:v>Global</x:v>
      </x:c>
      <x:c r="D2" s="50" t="str">
        <x:v>Carbon markets / Sustainable finance</x:v>
      </x:c>
      <x:c r="E2" s="50" t="str">
        <x:v>Carbon markets</x:v>
      </x:c>
      <x:c r="F2" s="50" t="str">
        <x:v>UN carbon credit rules may overcomplicate global market</x:v>
      </x:c>
      <x:c r="G2" s="50" t="str">
        <x:v>Reuters analysis noted that the UN is building a global carbon market, but warned rules could become too complex and constrain the market they are intended to fix.</x:v>
      </x:c>
      <x:c r="H2" s="50" t="str">
        <x:v>Carbon-credit buyers should watch Article 6 implementation quality, transaction costs, verification requirements, and whether “high integrity” rules reduce actual liquidity.</x:v>
      </x:c>
      <x:c r="I2" s="50" t="str">
        <x:v>Corporates buying credits, project developers, investors, policymakers</x:v>
      </x:c>
      <x:c r="J2" s="50" t="n">
        <x:v>4</x:v>
      </x:c>
      <x:c r="K2" s="50" t="str">
        <x:v>Article 6 / UN carbon market rule finalization; market liquidity; buyer due diligence</x:v>
      </x:c>
      <x:c r="L2" s="50" t="str">
        <x:v>Reuters</x:v>
      </x:c>
      <x:c r="M2" s="50" t="str">
        <x:v>https://www.reuters.com/sustainability/sustainable-finance-reporting/how-uns-carbon-credit-rules-threaten-market-they-aim-fix--ecmii-2026-04-29/</x:v>
      </x:c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 ht="72" customHeight="1">
      <x:c r="A3" s="50" t="n">
        <x:v>2</x:v>
      </x:c>
      <x:c r="B3" s="51" t="n">
        <x:v>46140</x:v>
      </x:c>
      <x:c r="C3" s="50" t="str">
        <x:v>Europe / Portugal</x:v>
      </x:c>
      <x:c r="D3" s="50" t="str">
        <x:v>Climate adaptation / Resilience finance</x:v>
      </x:c>
      <x:c r="E3" s="50" t="str">
        <x:v>Climate adaptation</x:v>
      </x:c>
      <x:c r="F3" s="50" t="str">
        <x:v>Portugal launches $26.5bn resilience plan</x:v>
      </x:c>
      <x:c r="G3" s="50" t="str">
        <x:v>Portugal announced a resilience programme after storms and a major blackout, including more use of insurance and market-based climate-risk instruments and rebuilding of homes, factories and infrastructure.</x:v>
      </x:c>
      <x:c r="H3" s="50" t="str">
        <x:v>Adaptation finance is moving from disaster recovery to pre-emptive resilience investment; insurers and infrastructure investors may gain a bigger role.</x:v>
      </x:c>
      <x:c r="I3" s="50" t="str">
        <x:v>Governments, insurers, infrastructure operators, banks</x:v>
      </x:c>
      <x:c r="J3" s="50" t="n">
        <x:v>4</x:v>
      </x:c>
      <x:c r="K3" s="50" t="str">
        <x:v>Implementation plan; insurance-market design; infrastructure spending details</x:v>
      </x:c>
      <x:c r="L3" s="50" t="str">
        <x:v>Reuters</x:v>
      </x:c>
      <x:c r="M3" s="50" t="str">
        <x:v>https://www.reuters.com/sustainability/climate-energy/portugal-launches-265-bln-plan-counter-climate-change-power-outages-2026-04-28/</x:v>
      </x:c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 ht="72" customHeight="1">
      <x:c r="A4" s="50" t="n">
        <x:v>3</x:v>
      </x:c>
      <x:c r="B4" s="51" t="n">
        <x:v>46139</x:v>
      </x:c>
      <x:c r="C4" s="50" t="str">
        <x:v>Japan</x:v>
      </x:c>
      <x:c r="D4" s="50" t="str">
        <x:v>Sustainable finance / Policy</x:v>
      </x:c>
      <x:c r="E4" s="50" t="str">
        <x:v>Sustainable finance</x:v>
      </x:c>
      <x:c r="F4" s="50" t="str">
        <x:v>Japan’s MOE opens public comment on green bond/loan and SLB/SLL guideline revisions</x:v>
      </x:c>
      <x:c r="G4" s="50" t="str">
        <x:v>Japan’s Ministry of the Environment published proposed 2026 revisions to green bond, sustainability-linked bond, green loan and sustainability-linked loan guidelines, reflecting ICMA/LMA-related international principle updates and adding green-enabling project explanations.</x:v>
      </x:c>
      <x:c r="H4" s="50" t="str">
        <x:v>Japanese issuers and lenders should check whether existing frameworks, KPIs and second-party opinions remain aligned with the 2026 guideline revisions.</x:v>
      </x:c>
      <x:c r="I4" s="50" t="str">
        <x:v>Issuers, banks, investors, SPO providers, sustainability teams</x:v>
      </x:c>
      <x:c r="J4" s="50" t="n">
        <x:v>5</x:v>
      </x:c>
      <x:c r="K4" s="50" t="str">
        <x:v>Public comment closes May 29, 2026; final guideline wording</x:v>
      </x:c>
      <x:c r="L4" s="50" t="str">
        <x:v>Ministry of the Environment, Japan</x:v>
      </x:c>
      <x:c r="M4" s="50" t="str">
        <x:v>https://www.env.go.jp/press/press_04121.html</x:v>
      </x:c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 ht="72" customHeight="1">
      <x:c r="A5" s="50" t="n">
        <x:v>4</x:v>
      </x:c>
      <x:c r="B5" s="51" t="n">
        <x:v>46135</x:v>
      </x:c>
      <x:c r="C5" s="50" t="str">
        <x:v>UK / Emerging markets</x:v>
      </x:c>
      <x:c r="D5" s="50" t="str">
        <x:v>Climate finance / Development finance</x:v>
      </x:c>
      <x:c r="E5" s="50" t="str">
        <x:v>Climate finance</x:v>
      </x:c>
      <x:c r="F5" s="50" t="str">
        <x:v>British International Investment targets $20bn investment push</x:v>
      </x:c>
      <x:c r="G5" s="50" t="str">
        <x:v>UK development lender BII aims to invest £15bn during 2026–2031, including up to £8bn in direct investment, and targets a 40% increase in private-sector co-investment.</x:v>
      </x:c>
      <x:c r="H5" s="50" t="str">
        <x:v>Development finance institutions are increasing transition and climate-linked capital deployment; private co-investors may find more blended-finance opportunities.</x:v>
      </x:c>
      <x:c r="I5" s="50" t="str">
        <x:v>DFIs, institutional investors, emerging-market companies</x:v>
      </x:c>
      <x:c r="J5" s="50" t="n">
        <x:v>4</x:v>
      </x:c>
      <x:c r="K5" s="50" t="str">
        <x:v>Sector allocation; climate share of investments; co-investment pipeline</x:v>
      </x:c>
      <x:c r="L5" s="50" t="str">
        <x:v>Reuters</x:v>
      </x:c>
      <x:c r="M5" s="50" t="str">
        <x:v>https://www.reuters.com/sustainability/climate-energy/britains-bii-targets-20-billion-investment-push-over-five-years-2026-04-23/</x:v>
      </x:c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 ht="72" customHeight="1">
      <x:c r="A6" s="50" t="n">
        <x:v>5</x:v>
      </x:c>
      <x:c r="B6" s="51" t="n">
        <x:v>46135</x:v>
      </x:c>
      <x:c r="C6" s="50" t="str">
        <x:v>Japan</x:v>
      </x:c>
      <x:c r="D6" s="50" t="str">
        <x:v>Energy efficiency / Supply chain</x:v>
      </x:c>
      <x:c r="E6" s="50" t="str">
        <x:v>Energy efficiency</x:v>
      </x:c>
      <x:c r="F6" s="50" t="str">
        <x:v>METI starts recruitment for Supply Chain Team-up Program lead companies</x:v>
      </x:c>
      <x:c r="G6" s="50" t="str">
        <x:v>Japan’s Agency for Natural Resources and Energy began recruiting lead companies and institutions to promote energy-saving activities across supply chains.</x:v>
      </x:c>
      <x:c r="H6" s="50" t="str">
        <x:v>Scope 3 and supplier engagement are becoming practical policy targets; large companies may be expected to help suppliers reduce energy use.</x:v>
      </x:c>
      <x:c r="I6" s="50" t="str">
        <x:v>Manufacturers, retailers, suppliers, industry groups</x:v>
      </x:c>
      <x:c r="J6" s="50" t="n">
        <x:v>4</x:v>
      </x:c>
      <x:c r="K6" s="50" t="str">
        <x:v>Application requirements; selected lead companies; subsidy/support details</x:v>
      </x:c>
      <x:c r="L6" s="50" t="str">
        <x:v>Agency for Natural Resources and Energy, METI</x:v>
      </x:c>
      <x:c r="M6" s="50" t="str">
        <x:v>https://www.enecho.meti.go.jp/category/saving_and_new/saving/chiiki_partnership/news/2026/supply_chain_teamup.html</x:v>
      </x:c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 ht="72" customHeight="1">
      <x:c r="A7" s="50" t="n">
        <x:v>6</x:v>
      </x:c>
      <x:c r="B7" s="51" t="n">
        <x:v>46135</x:v>
      </x:c>
      <x:c r="C7" s="50" t="str">
        <x:v>Global</x:v>
      </x:c>
      <x:c r="D7" s="50" t="str">
        <x:v>Nature / Sustainability disclosure</x:v>
      </x:c>
      <x:c r="E7" s="50" t="str">
        <x:v>Nature / biodiversity</x:v>
      </x:c>
      <x:c r="F7" s="50" t="str">
        <x:v>ISSB chooses non-mandatory nature-related disclosure route</x:v>
      </x:c>
      <x:c r="G7" s="50" t="str">
        <x:v>ISSB decided to develop proposed nature-related disclosure requirements as an IFRS Practice Statement rather than a mandatory standalone standard.</x:v>
      </x:c>
      <x:c r="H7" s="50" t="str">
        <x:v>Nature disclosure is advancing, but the path is currently softer than climate disclosure; companies should still prepare TNFD-style nature risk mapping.</x:v>
      </x:c>
      <x:c r="I7" s="50" t="str">
        <x:v>Listed companies, investors, auditors, standard setters</x:v>
      </x:c>
      <x:c r="J7" s="50" t="n">
        <x:v>5</x:v>
      </x:c>
      <x:c r="K7" s="50" t="str">
        <x:v>Draft practice statement; alignment with TNFD/GRI/SBTN; jurisdictional adoption</x:v>
      </x:c>
      <x:c r="L7" s="50" t="str">
        <x:v>ESG Today / IFRS Foundation reporting</x:v>
      </x:c>
      <x:c r="M7" s="50" t="str">
        <x:v>https://www.esgtoday.com/issb-decides-to-develop-non-mandatory-nature-related-reporting-requirements/</x:v>
      </x:c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 ht="72" customHeight="1">
      <x:c r="A8" s="50" t="n">
        <x:v>7</x:v>
      </x:c>
      <x:c r="B8" s="51" t="n">
        <x:v>46134</x:v>
      </x:c>
      <x:c r="C8" s="50" t="str">
        <x:v>Asia-Pacific</x:v>
      </x:c>
      <x:c r="D8" s="50" t="str">
        <x:v>Climate tech / Entrepreneurship</x:v>
      </x:c>
      <x:c r="E8" s="50" t="str">
        <x:v>Climate tech</x:v>
      </x:c>
      <x:c r="F8" s="50" t="str">
        <x:v>UNDP launches Climate Catalysts Programme on Earth Day</x:v>
      </x:c>
      <x:c r="G8" s="50" t="str">
        <x:v>UNDP Asia-Pacific launched a programme supporting early-stage youth-led ventures in clean air, food security, renewable energy, water and circular economy; it attracted more than 380 applications.</x:v>
      </x:c>
      <x:c r="H8" s="50" t="str">
        <x:v>Climate entrepreneurship is being packaged as investable impact, with early-stage innovation pipelines forming in Asia-Pacific.</x:v>
      </x:c>
      <x:c r="I8" s="50" t="str">
        <x:v>Startups, impact investors, development agencies, accelerators</x:v>
      </x:c>
      <x:c r="J8" s="50" t="n">
        <x:v>3</x:v>
      </x:c>
      <x:c r="K8" s="50" t="str">
        <x:v>Selected cohorts; funding partners; venture outcomes</x:v>
      </x:c>
      <x:c r="L8" s="50" t="str">
        <x:v>UNDP Asia-Pacific</x:v>
      </x:c>
      <x:c r="M8" s="50" t="str">
        <x:v>https://www.undp.org/asia-pacific/news/climate-catalysts-programme-young-entrepreneurs-kicks-earth-day</x:v>
      </x:c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 ht="72" customHeight="1">
      <x:c r="A9" s="50" t="n">
        <x:v>8</x:v>
      </x:c>
      <x:c r="B9" s="51" t="n">
        <x:v>46133</x:v>
      </x:c>
      <x:c r="C9" s="50" t="str">
        <x:v>Global</x:v>
      </x:c>
      <x:c r="D9" s="50" t="str">
        <x:v>Climate diplomacy / Energy security</x:v>
      </x:c>
      <x:c r="E9" s="50" t="str">
        <x:v>Climate diplomacy</x:v>
      </x:c>
      <x:c r="F9" s="50" t="str">
        <x:v>UN climate chief links climate cooperation with fossil-fuel cost chaos</x:v>
      </x:c>
      <x:c r="G9" s="50" t="str">
        <x:v>At the Petersberg Climate Dialogue, UN Climate Change Executive Secretary Simon Stiell argued that climate cooperation is key to avoiding both global heating and fossil-fuel-driven cost shocks.</x:v>
      </x:c>
      <x:c r="H9" s="50" t="str">
        <x:v>Climate policy messaging is shifting toward economic security, inflation and energy-cost resilience, not only emissions reduction.</x:v>
      </x:c>
      <x:c r="I9" s="50" t="str">
        <x:v>Governments, energy companies, households, investors</x:v>
      </x:c>
      <x:c r="J9" s="50" t="n">
        <x:v>4</x:v>
      </x:c>
      <x:c r="K9" s="50" t="str">
        <x:v>COP agenda; fossil fuel transition language; NDC updates</x:v>
      </x:c>
      <x:c r="L9" s="50" t="str">
        <x:v>UNFCCC</x:v>
      </x:c>
      <x:c r="M9" s="50" t="str">
        <x:v>https://unfccc.int/news/un-climate-chief-climate-cooperation-is-key-to-fending-off-the-twin-reapers-of-global-heating-and</x:v>
      </x:c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 ht="72" customHeight="1">
      <x:c r="A10" s="50" t="n">
        <x:v>9</x:v>
      </x:c>
      <x:c r="B10" s="51" t="n">
        <x:v>46132</x:v>
      </x:c>
      <x:c r="C10" s="50" t="str">
        <x:v>Global</x:v>
      </x:c>
      <x:c r="D10" s="50" t="str">
        <x:v>Nature / Biodiversity metrics</x:v>
      </x:c>
      <x:c r="E10" s="50" t="str">
        <x:v>Nature / biodiversity</x:v>
      </x:c>
      <x:c r="F10" s="50" t="str">
        <x:v>TNFD, GRI and SBTN consult on “state of nature” measurement</x:v>
      </x:c>
      <x:c r="G10" s="50" t="str">
        <x:v>TNFD published an April 2026 discussion paper with GRI and SBTN on integrating Nature Positive Initiative metrics into assessment, disclosure, transition planning and target-setting use cases; feedback is requested by June 4.</x:v>
      </x:c>
      <x:c r="H10" s="50" t="str">
        <x:v>Biodiversity disclosure is moving from narrative risk description toward measurable nature-state outcomes.</x:v>
      </x:c>
      <x:c r="I10" s="50" t="str">
        <x:v>Companies, investors, biodiversity experts, sustainability reporting teams</x:v>
      </x:c>
      <x:c r="J10" s="50" t="n">
        <x:v>5</x:v>
      </x:c>
      <x:c r="K10" s="50" t="str">
        <x:v>Consultation result; final TNFD metrics architecture later in 2026</x:v>
      </x:c>
      <x:c r="L10" s="50" t="str">
        <x:v>TNFD</x:v>
      </x:c>
      <x:c r="M10" s="50" t="str">
        <x:v>https://tnfd.global/publication/discussion-paper-on-state-of-nature-measurement/</x:v>
      </x:c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 ht="72" customHeight="1">
      <x:c r="A11" s="50" t="n">
        <x:v>10</x:v>
      </x:c>
      <x:c r="B11" s="51" t="n">
        <x:v>46128</x:v>
      </x:c>
      <x:c r="C11" s="50" t="str">
        <x:v>US / California</x:v>
      </x:c>
      <x:c r="D11" s="50" t="str">
        <x:v>Climate disclosure / Litigation</x:v>
      </x:c>
      <x:c r="E11" s="50" t="str">
        <x:v>Climate disclosure</x:v>
      </x:c>
      <x:c r="F11" s="50" t="str">
        <x:v>Exxon and U.S. Chamber challenge California climate disclosure law</x:v>
      </x:c>
      <x:c r="G11" s="50" t="str">
        <x:v>Reuters reported that SB 261 requires companies with over $500m in annual revenue to report climate financial risks biennially; litigation by ExxonMobil and the U.S. Chamber could shape U.S. climate disclosure.</x:v>
      </x:c>
      <x:c r="H11" s="50" t="str">
        <x:v>U.S. climate-disclosure rules remain legally contested; multinational companies should prepare for state-level reporting fragmentation.</x:v>
      </x:c>
      <x:c r="I11" s="50" t="str">
        <x:v>Large corporates, legal teams, investors, regulators</x:v>
      </x:c>
      <x:c r="J11" s="50" t="n">
        <x:v>5</x:v>
      </x:c>
      <x:c r="K11" s="50" t="str">
        <x:v>Court decisions; SB 253 Scope 1/2 disclosure timing; voluntary reports</x:v>
      </x:c>
      <x:c r="L11" s="50" t="str">
        <x:v>Reuters</x:v>
      </x:c>
      <x:c r="M11" s="50" t="str">
        <x:v>https://www.reuters.com/sustainability/sustainable-finance-reporting/exxon-takes-california-legal-battle-that-could-shape-us-climate-disclosure--ecmii-2026-04-16/</x:v>
      </x:c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 ht="72" customHeight="1">
      <x:c r="A12" s="50" t="n">
        <x:v>11</x:v>
      </x:c>
      <x:c r="B12" s="51" t="n">
        <x:v>46127</x:v>
      </x:c>
      <x:c r="C12" s="50" t="str">
        <x:v>Global</x:v>
      </x:c>
      <x:c r="D12" s="50" t="str">
        <x:v>Food / Agriculture / GHG accounting</x:v>
      </x:c>
      <x:c r="E12" s="50" t="str">
        <x:v>Disclosure / reporting</x:v>
      </x:c>
      <x:c r="F12" s="50" t="str">
        <x:v>GHG Protocol land-sector standard raises bar for regenerative agriculture claims</x:v>
      </x:c>
      <x:c r="G12" s="50" t="str">
        <x:v>The new Land Sector and Removals Standard gives food and agriculture companies more consistent rules, takes effect in 2027 for significant land-based activities, separates land emissions from removals, and tightens monitoring requirements.</x:v>
      </x:c>
      <x:c r="H12" s="50" t="str">
        <x:v>Agriculture and food companies will need stronger evidence for soil carbon, removals and bioenergy claims; weak offset narratives may lose credibility.</x:v>
      </x:c>
      <x:c r="I12" s="50" t="str">
        <x:v>Food companies, farmers, carbon removal providers, auditors</x:v>
      </x:c>
      <x:c r="J12" s="50" t="n">
        <x:v>5</x:v>
      </x:c>
      <x:c r="K12" s="50" t="str">
        <x:v>2027 implementation; SBTi expectations; corporate pilot disclosures</x:v>
      </x:c>
      <x:c r="L12" s="50" t="str">
        <x:v>Reuters</x:v>
      </x:c>
      <x:c r="M12" s="50" t="str">
        <x:v>https://www.reuters.com/sustainability/sustainable-finance-reporting/climate-reporting-rules-food-sector-raise-bar-regenerative-agriculture--ecmii-2026-04-15/</x:v>
      </x:c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 ht="72" customHeight="1">
      <x:c r="A13" s="50" t="n">
        <x:v>12</x:v>
      </x:c>
      <x:c r="B13" s="51" t="n">
        <x:v>46127</x:v>
      </x:c>
      <x:c r="C13" s="50" t="str">
        <x:v>EU</x:v>
      </x:c>
      <x:c r="D13" s="50" t="str">
        <x:v>Consumer sustainability / Ecolabels</x:v>
      </x:c>
      <x:c r="E13" s="50" t="str">
        <x:v>Consumer sustainability</x:v>
      </x:c>
      <x:c r="F13" s="50" t="str">
        <x:v>EU Ecolabel reaches 116,692 products and 3,541 licences</x:v>
      </x:c>
      <x:c r="G13" s="50" t="str">
        <x:v>The European Commission said March 2026 figures show 116,692 goods and services awarded the EU Ecolabel, backed by 3,541 licences, with 97% rooted in the EEA.</x:v>
      </x:c>
      <x:c r="H13" s="50" t="str">
        <x:v>Eco-labeling is becoming more mainstream in consumer markets; brands need credible claims and label governance as greenwashing scrutiny rises.</x:v>
      </x:c>
      <x:c r="I13" s="50" t="str">
        <x:v>Consumer brands, retailers, certification bodies, regulators</x:v>
      </x:c>
      <x:c r="J13" s="50" t="n">
        <x:v>3</x:v>
      </x:c>
      <x:c r="K13" s="50" t="str">
        <x:v>Product categories with fastest growth; claim substantiation rules</x:v>
      </x:c>
      <x:c r="L13" s="50" t="str">
        <x:v>European Commission</x:v>
      </x:c>
      <x:c r="M13" s="50" t="str">
        <x:v>https://environment.ec.europa.eu/news/eu-ecolabel-surges-ahead-2026-going-strength-strength-2026-04-15_en</x:v>
      </x:c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 ht="72" customHeight="1">
      <x:c r="A14" s="50" t="n">
        <x:v>13</x:v>
      </x:c>
      <x:c r="B14" s="51" t="n">
        <x:v>46126</x:v>
      </x:c>
      <x:c r="C14" s="50" t="str">
        <x:v>Japan</x:v>
      </x:c>
      <x:c r="D14" s="50" t="str">
        <x:v>Climate data / National inventory</x:v>
      </x:c>
      <x:c r="E14" s="50" t="str">
        <x:v>Climate data</x:v>
      </x:c>
      <x:c r="F14" s="50" t="str">
        <x:v>Japan’s FY2024 GHG emissions fall below 1bn tCO2e for the first time</x:v>
      </x:c>
      <x:c r="G14" s="50" t="str">
        <x:v>Japan’s FY2024 greenhouse-gas emissions and removals were about 994m tCO2e, down 1.9% from FY2023 and 28.7% from FY2013; the total fell below 1bn tCO2e for the first time since FY2013.</x:v>
      </x:c>
      <x:c r="H14" s="50" t="str">
        <x:v>Japan’s decarbonization trend improved, aided by manufacturing energy-use reduction and cleaner power mix; remaining progress must align with 2035/2040 targets.</x:v>
      </x:c>
      <x:c r="I14" s="50" t="str">
        <x:v>Government, utilities, manufacturers, investors, media</x:v>
      </x:c>
      <x:c r="J14" s="50" t="n">
        <x:v>5</x:v>
      </x:c>
      <x:c r="K14" s="50" t="str">
        <x:v>Sector-level emissions; power mix; progress toward 2035 NDC</x:v>
      </x:c>
      <x:c r="L14" s="50" t="str">
        <x:v>Ministry of the Environment, Japan</x:v>
      </x:c>
      <x:c r="M14" s="50" t="str">
        <x:v>https://www.env.go.jp/press/press_04043.html</x:v>
      </x:c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 ht="72" customHeight="1">
      <x:c r="A15" s="50" t="n">
        <x:v>14</x:v>
      </x:c>
      <x:c r="B15" s="51" t="n">
        <x:v>46125</x:v>
      </x:c>
      <x:c r="C15" s="50" t="str">
        <x:v>Japan</x:v>
      </x:c>
      <x:c r="D15" s="50" t="str">
        <x:v>Circular economy / Local policy</x:v>
      </x:c>
      <x:c r="E15" s="50" t="str">
        <x:v>Circular economy</x:v>
      </x:c>
      <x:c r="F15" s="50" t="str">
        <x:v>MOE opens applications for regional circular-economy support projects</x:v>
      </x:c>
      <x:c r="G15" s="50" t="str">
        <x:v>Japan’s MOE began soliciting projects for municipal CE diagnosis/vision creation and circular business-model demonstrations to use local circular resources for regional revitalization.</x:v>
      </x:c>
      <x:c r="H15" s="50" t="str">
        <x:v>Circular economy is being localized: municipalities and businesses can access policy support for resource-circulation pilots.</x:v>
      </x:c>
      <x:c r="I15" s="50" t="str">
        <x:v>Local governments, SMEs, circular business operators</x:v>
      </x:c>
      <x:c r="J15" s="50" t="n">
        <x:v>4</x:v>
      </x:c>
      <x:c r="K15" s="50" t="str">
        <x:v>Selected projects; replicability; local economic impact</x:v>
      </x:c>
      <x:c r="L15" s="50" t="str">
        <x:v>Ministry of the Environment, Japan</x:v>
      </x:c>
      <x:c r="M15" s="50" t="str">
        <x:v>https://www.env.go.jp/press/press_04036.html</x:v>
      </x:c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 ht="72" customHeight="1">
      <x:c r="A16" s="50" t="n">
        <x:v>15</x:v>
      </x:c>
      <x:c r="B16" s="51" t="n">
        <x:v>46122</x:v>
      </x:c>
      <x:c r="C16" s="50" t="str">
        <x:v>Japan</x:v>
      </x:c>
      <x:c r="D16" s="50" t="str">
        <x:v>Corporate governance / Disclosure</x:v>
      </x:c>
      <x:c r="E16" s="50" t="str">
        <x:v>Governance</x:v>
      </x:c>
      <x:c r="F16" s="50" t="str">
        <x:v>FSA and TSE publish proposed Corporate Governance Code revisions</x:v>
      </x:c>
      <x:c r="G16" s="50" t="str">
        <x:v>Japan’s FSA and Tokyo Stock Exchange published proposed Corporate Governance Code revisions and opened comments until May 15, 2026; reference materials focus on promoting growth investment.</x:v>
      </x:c>
      <x:c r="H16" s="50" t="str">
        <x:v>Governance reform connects with sustainability through capital allocation, disclosure timing and board oversight of long-term value creation.</x:v>
      </x:c>
      <x:c r="I16" s="50" t="str">
        <x:v>Listed companies, investors, boards, IR teams</x:v>
      </x:c>
      <x:c r="J16" s="50" t="n">
        <x:v>4</x:v>
      </x:c>
      <x:c r="K16" s="50" t="str">
        <x:v>Final revisions; effect on pre-AGM annual report disclosure; investor stewardship response</x:v>
      </x:c>
      <x:c r="L16" s="50" t="str">
        <x:v>Financial Services Agency / Tokyo Stock Exchange</x:v>
      </x:c>
      <x:c r="M16" s="50" t="str">
        <x:v>https://www.fsa.go.jp/news/r7/singi/20260410.html</x:v>
      </x:c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 ht="72" customHeight="1">
      <x:c r="A17" s="52" t="n">
        <x:v>16</x:v>
      </x:c>
      <x:c r="B17" s="53" t="n">
        <x:v>46133</x:v>
      </x:c>
      <x:c r="C17" s="52" t="str">
        <x:v>Japan</x:v>
      </x:c>
      <x:c r="D17" s="52" t="str">
        <x:v>Circular economy / Resource security</x:v>
      </x:c>
      <x:c r="E17" s="52" t="str">
        <x:v>Circular economy</x:v>
      </x:c>
      <x:c r="F17" s="52" t="str">
        <x:v>Japan plans ¥1tn recycling push for plastics and critical minerals by 2030</x:v>
      </x:c>
      <x:c r="G17" s="52" t="str">
        <x:v>EU-Japan Centre newsletter reported Japan plans to invest about ¥1tn ($6.3bn) by 2030 to expand recycling of critical minerals and plastics, strengthening resource security and reducing import reliance.</x:v>
      </x:c>
      <x:c r="H17" s="52" t="str">
        <x:v>Recycling is now both sustainability policy and economic-security strategy; critical minerals recycling may become a major industrial theme.</x:v>
      </x:c>
      <x:c r="I17" s="52" t="str">
        <x:v>Recyclers, materials companies, automakers, electronics makers, investors</x:v>
      </x:c>
      <x:c r="J17" s="52" t="n">
        <x:v>5</x:v>
      </x:c>
      <x:c r="K17" s="52" t="str">
        <x:v>Budget details; target materials; industrial consortia; implementation schedule</x:v>
      </x:c>
      <x:c r="L17" s="52" t="str">
        <x:v>EU-Japan Centre / Asahi report summary</x:v>
      </x:c>
      <x:c r="M17" s="52" t="str">
        <x:v>https://www.eu-japan.eu/news/japanese-economic-and-business-weekly-newsletter-17-27-april-2026</x:v>
      </x:c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62" hidden="0" customWidth="1"/>
    <x:col min="5" max="5" width="48" hidden="0" customWidth="1"/>
    <x:col min="6" max="6" width="58" hidden="0" customWidth="1"/>
  </x:cols>
  <x:sheetData>
    <x:row r="1" ht="34" customHeight="1">
      <x:c r="A1" s="59" t="str">
        <x:v>Rank</x:v>
      </x:c>
      <x:c r="B1" s="59" t="str">
        <x:v>Date</x:v>
      </x:c>
      <x:c r="C1" s="59" t="str">
        <x:v>Topic</x:v>
      </x:c>
      <x:c r="D1" s="59" t="str">
        <x:v>Why it matters</x:v>
      </x:c>
      <x:c r="E1" s="59" t="str">
        <x:v>Recommended action</x:v>
      </x:c>
      <x:c r="F1" s="59" t="str">
        <x:v>URL</x:v>
      </x:c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78" customHeight="1">
      <x:c r="A2" s="41" t="n">
        <x:v>13</x:v>
      </x:c>
      <x:c r="B2" s="60" t="n">
        <x:v>46126</x:v>
      </x:c>
      <x:c r="C2" s="41" t="str">
        <x:v>Japan’s FY2024 GHG emissions fall below 1bn tCO2e for the first time</x:v>
      </x:c>
      <x:c r="D2" s="41" t="str">
        <x:v>Japan’s decarbonization trend improved, aided by manufacturing energy-use reduction and cleaner power mix; remaining progress must align with 2035/2040 targets.</x:v>
      </x:c>
      <x:c r="E2" s="41" t="str">
        <x:v>Sector-level emissions; power mix; progress toward 2035 NDC</x:v>
      </x:c>
      <x:c r="F2" s="41" t="str">
        <x:v>https://www.env.go.jp/press/press_04043.html</x:v>
      </x:c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 ht="78" customHeight="1">
      <x:c r="A3" s="41" t="n">
        <x:v>11</x:v>
      </x:c>
      <x:c r="B3" s="60" t="n">
        <x:v>46127</x:v>
      </x:c>
      <x:c r="C3" s="41" t="str">
        <x:v>GHG Protocol land-sector standard raises bar for regenerative agriculture claims</x:v>
      </x:c>
      <x:c r="D3" s="41" t="str">
        <x:v>Agriculture and food companies will need stronger evidence for soil carbon, removals and bioenergy claims; weak offset narratives may lose credibility.</x:v>
      </x:c>
      <x:c r="E3" s="41" t="str">
        <x:v>2027 implementation; SBTi expectations; corporate pilot disclosures</x:v>
      </x:c>
      <x:c r="F3" s="41" t="str">
        <x:v>https://www.reuters.com/sustainability/sustainable-finance-reporting/climate-reporting-rules-food-sector-raise-bar-regenerative-agriculture--ecmii-2026-04-15/</x:v>
      </x:c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 ht="78" customHeight="1">
      <x:c r="A4" s="41" t="n">
        <x:v>10</x:v>
      </x:c>
      <x:c r="B4" s="60" t="n">
        <x:v>46128</x:v>
      </x:c>
      <x:c r="C4" s="41" t="str">
        <x:v>Exxon and U.S. Chamber challenge California climate disclosure law</x:v>
      </x:c>
      <x:c r="D4" s="41" t="str">
        <x:v>U.S. climate-disclosure rules remain legally contested; multinational companies should prepare for state-level reporting fragmentation.</x:v>
      </x:c>
      <x:c r="E4" s="41" t="str">
        <x:v>Court decisions; SB 253 Scope 1/2 disclosure timing; voluntary reports</x:v>
      </x:c>
      <x:c r="F4" s="41" t="str">
        <x:v>https://www.reuters.com/sustainability/sustainable-finance-reporting/exxon-takes-california-legal-battle-that-could-shape-us-climate-disclosure--ecmii-2026-04-16/</x:v>
      </x:c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 ht="78" customHeight="1">
      <x:c r="A5" s="41" t="n">
        <x:v>9</x:v>
      </x:c>
      <x:c r="B5" s="60" t="n">
        <x:v>46132</x:v>
      </x:c>
      <x:c r="C5" s="41" t="str">
        <x:v>TNFD, GRI and SBTN consult on “state of nature” measurement</x:v>
      </x:c>
      <x:c r="D5" s="41" t="str">
        <x:v>Biodiversity disclosure is moving from narrative risk description toward measurable nature-state outcomes.</x:v>
      </x:c>
      <x:c r="E5" s="41" t="str">
        <x:v>Consultation result; final TNFD metrics architecture later in 2026</x:v>
      </x:c>
      <x:c r="F5" s="41" t="str">
        <x:v>https://tnfd.global/publication/discussion-paper-on-state-of-nature-measurement/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 ht="78" customHeight="1">
      <x:c r="A6" s="41" t="n">
        <x:v>16</x:v>
      </x:c>
      <x:c r="B6" s="60" t="n">
        <x:v>46133</x:v>
      </x:c>
      <x:c r="C6" s="41" t="str">
        <x:v>Japan plans ¥1tn recycling push for plastics and critical minerals by 2030</x:v>
      </x:c>
      <x:c r="D6" s="41" t="str">
        <x:v>Recycling is now both sustainability policy and economic-security strategy; critical minerals recycling may become a major industrial theme.</x:v>
      </x:c>
      <x:c r="E6" s="41" t="str">
        <x:v>Budget details; target materials; industrial consortia; implementation schedule</x:v>
      </x:c>
      <x:c r="F6" s="41" t="str">
        <x:v>https://www.eu-japan.eu/news/japanese-economic-and-business-weekly-newsletter-17-27-april-2026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 ht="78" customHeight="1">
      <x:c r="A7" s="41" t="n">
        <x:v>6</x:v>
      </x:c>
      <x:c r="B7" s="60" t="n">
        <x:v>46135</x:v>
      </x:c>
      <x:c r="C7" s="41" t="str">
        <x:v>ISSB chooses non-mandatory nature-related disclosure route</x:v>
      </x:c>
      <x:c r="D7" s="41" t="str">
        <x:v>Nature disclosure is advancing, but the path is currently softer than climate disclosure; companies should still prepare TNFD-style nature risk mapping.</x:v>
      </x:c>
      <x:c r="E7" s="41" t="str">
        <x:v>Draft practice statement; alignment with TNFD/GRI/SBTN; jurisdictional adoption</x:v>
      </x:c>
      <x:c r="F7" s="41" t="str">
        <x:v>https://www.esgtoday.com/issb-decides-to-develop-non-mandatory-nature-related-reporting-requirements/</x:v>
      </x:c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 ht="78" customHeight="1">
      <x:c r="A8" s="41" t="n">
        <x:v>3</x:v>
      </x:c>
      <x:c r="B8" s="60" t="n">
        <x:v>46139</x:v>
      </x:c>
      <x:c r="C8" s="41" t="str">
        <x:v>Japan’s MOE opens public comment on green bond/loan and SLB/SLL guideline revisions</x:v>
      </x:c>
      <x:c r="D8" s="41" t="str">
        <x:v>Japanese issuers and lenders should check whether existing frameworks, KPIs and second-party opinions remain aligned with the 2026 guideline revisions.</x:v>
      </x:c>
      <x:c r="E8" s="41" t="str">
        <x:v>Public comment closes May 29, 2026; final guideline wording</x:v>
      </x:c>
      <x:c r="F8" s="41" t="str">
        <x:v>https://www.env.go.jp/press/press_04121.html</x:v>
      </x:c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 ht="78" customHeight="1">
      <x:c r="A9" s="61" t="n">
        <x:v>15</x:v>
      </x:c>
      <x:c r="B9" s="62" t="n">
        <x:v>46122</x:v>
      </x:c>
      <x:c r="C9" s="61" t="str">
        <x:v>FSA and TSE publish proposed Corporate Governance Code revisions</x:v>
      </x:c>
      <x:c r="D9" s="61" t="str">
        <x:v>Governance reform connects with sustainability through capital allocation, disclosure timing and board oversight of long-term value creation.</x:v>
      </x:c>
      <x:c r="E9" s="61" t="str">
        <x:v>Final revisions; effect on pre-AGM annual report disclosure; investor stewardship response</x:v>
      </x:c>
      <x:c r="F9" s="61" t="str">
        <x:v>https://www.fsa.go.jp/news/r7/singi/20260410.html</x:v>
      </x:c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</x:row>
  </x:sheetData>
  <x:pageMargins left="0.7" right="0.7" top="0.75" bottom="0.75" header="0.3" footer="0.3"/>
</x:worksheet>
</file>